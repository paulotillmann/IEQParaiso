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taria\OneDrive - MSFT\Área de Trabalho\"/>
    </mc:Choice>
  </mc:AlternateContent>
  <xr:revisionPtr revIDLastSave="0" documentId="8_{3EF18944-CBB2-46EA-B091-789D7D0D016A}" xr6:coauthVersionLast="47" xr6:coauthVersionMax="47" xr10:uidLastSave="{00000000-0000-0000-0000-000000000000}"/>
  <bookViews>
    <workbookView xWindow="-120" yWindow="-120" windowWidth="19440" windowHeight="14385" xr2:uid="{E068431F-6F7A-49A6-844C-735D165A1657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5" i="1" l="1"/>
  <c r="A34" i="1"/>
  <c r="N31" i="1"/>
  <c r="N30" i="1"/>
  <c r="M30" i="1"/>
  <c r="L30" i="1"/>
  <c r="A30" i="1"/>
  <c r="N29" i="1"/>
  <c r="M29" i="1"/>
  <c r="M31" i="1" s="1"/>
  <c r="L29" i="1"/>
  <c r="L31" i="1" s="1"/>
  <c r="A5" i="1"/>
  <c r="N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Cláudio</author>
  </authors>
  <commentList>
    <comment ref="N9" authorId="0" shapeId="0" xr:uid="{055FBC46-33A4-40B6-A172-1CA8C42B80A6}">
      <text>
        <r>
          <rPr>
            <b/>
            <sz val="9"/>
            <color indexed="81"/>
            <rFont val="Tahoma"/>
            <family val="2"/>
          </rPr>
          <t>LEMBRA DE COLOCAR O NÚMERO DE PRESENTES NO CULTO</t>
        </r>
      </text>
    </comment>
  </commentList>
</comments>
</file>

<file path=xl/sharedStrings.xml><?xml version="1.0" encoding="utf-8"?>
<sst xmlns="http://schemas.openxmlformats.org/spreadsheetml/2006/main" count="43" uniqueCount="37">
  <si>
    <t>I g r e j a   d o   E v a n g e l h o   Q u a d r a n g u l a r</t>
  </si>
  <si>
    <t>1008</t>
  </si>
  <si>
    <t>REFC - Relatório estatístico e Financeiro de Culto</t>
  </si>
  <si>
    <t>Nº do REFC</t>
  </si>
  <si>
    <t>Igreja (cidade e bairro)</t>
  </si>
  <si>
    <t>CNPJ</t>
  </si>
  <si>
    <t>Araguari MG - Paraíso</t>
  </si>
  <si>
    <t>62955505/0449-62</t>
  </si>
  <si>
    <t>Dias da Semana</t>
  </si>
  <si>
    <t>Testemunhos</t>
  </si>
  <si>
    <t>Conversões</t>
  </si>
  <si>
    <t>D</t>
  </si>
  <si>
    <t>S</t>
  </si>
  <si>
    <t>T</t>
  </si>
  <si>
    <t>Q</t>
  </si>
  <si>
    <t>Batizados no Espírito Santo</t>
  </si>
  <si>
    <t>Visitantes</t>
  </si>
  <si>
    <t>3º Domingo</t>
  </si>
  <si>
    <t>Diáconos em Serviço</t>
  </si>
  <si>
    <t>Crianças Apresentadas</t>
  </si>
  <si>
    <t>Total de Presentes</t>
  </si>
  <si>
    <t xml:space="preserve">Observações: </t>
  </si>
  <si>
    <t>Relação de Dizimistas e Ofertantes</t>
  </si>
  <si>
    <t>Nº.</t>
  </si>
  <si>
    <t>Nome</t>
  </si>
  <si>
    <t>Dízimo</t>
  </si>
  <si>
    <t>Of. Adoração</t>
  </si>
  <si>
    <t>Of. Gerais</t>
  </si>
  <si>
    <t>Oferta de Missões (3º domingo)</t>
  </si>
  <si>
    <t>-</t>
  </si>
  <si>
    <t>Total:</t>
  </si>
  <si>
    <t>Valor(es) Transportado(s) RDOC(s):</t>
  </si>
  <si>
    <t>Sub Total:</t>
  </si>
  <si>
    <t>Total Geral:</t>
  </si>
  <si>
    <t>Nome dos Responsável</t>
  </si>
  <si>
    <t>Assinatura</t>
  </si>
  <si>
    <t>1ª Via - Suprerintendência / 2ª Via - Igreja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</si>
</sst>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00"/>
    <numFmt numFmtId="166" formatCode="_(* #,##0.00_);_(* \(#,##0.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rial"/>
      <family val="2"/>
    </font>
    <font>
      <sz val="13"/>
      <name val="Arial"/>
      <family val="2"/>
    </font>
    <font>
      <sz val="14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b/>
      <sz val="7"/>
      <color rgb="FFFF000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  <font>
      <vertAlign val="superscript"/>
      <sz val="8"/>
      <name val="Arial"/>
      <family val="2"/>
    </font>
    <font>
      <sz val="12"/>
      <name val="Arial"/>
      <family val="2"/>
    </font>
    <font>
      <sz val="10"/>
      <name val="Perpetua Titling MT"/>
      <family val="1"/>
    </font>
    <font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sz val="6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6" fillId="0" borderId="10" xfId="0" applyNumberFormat="1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5" fillId="0" borderId="11" xfId="0" applyNumberFormat="1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right" vertical="center"/>
      <protection locked="0"/>
    </xf>
    <xf numFmtId="164" fontId="9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6" xfId="0" applyNumberFormat="1" applyFont="1" applyBorder="1" applyAlignment="1" applyProtection="1">
      <alignment horizontal="left" vertical="center"/>
      <protection locked="0"/>
    </xf>
    <xf numFmtId="49" fontId="7" fillId="0" borderId="17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1" fontId="7" fillId="0" borderId="19" xfId="0" applyNumberFormat="1" applyFont="1" applyBorder="1" applyAlignment="1" applyProtection="1">
      <alignment horizontal="center" vertical="center"/>
      <protection locked="0"/>
    </xf>
    <xf numFmtId="1" fontId="7" fillId="0" borderId="20" xfId="0" applyNumberFormat="1" applyFont="1" applyBorder="1" applyAlignment="1" applyProtection="1">
      <alignment horizontal="center" vertical="center"/>
      <protection locked="0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7" fillId="0" borderId="21" xfId="0" applyNumberFormat="1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>
      <alignment horizontal="center" vertical="center"/>
    </xf>
    <xf numFmtId="165" fontId="7" fillId="0" borderId="26" xfId="0" applyNumberFormat="1" applyFont="1" applyBorder="1" applyAlignment="1" applyProtection="1">
      <alignment horizontal="center" vertical="center"/>
      <protection locked="0"/>
    </xf>
    <xf numFmtId="0" fontId="10" fillId="0" borderId="21" xfId="0" applyFont="1" applyBorder="1" applyAlignment="1">
      <alignment horizontal="center" vertical="center"/>
    </xf>
    <xf numFmtId="20" fontId="11" fillId="0" borderId="27" xfId="0" applyNumberFormat="1" applyFont="1" applyBorder="1" applyAlignment="1" applyProtection="1">
      <alignment horizontal="center" vertical="center"/>
      <protection locked="0"/>
    </xf>
    <xf numFmtId="165" fontId="7" fillId="0" borderId="28" xfId="0" applyNumberFormat="1" applyFont="1" applyBorder="1" applyAlignment="1" applyProtection="1">
      <alignment horizontal="center" vertical="center"/>
      <protection locked="0"/>
    </xf>
    <xf numFmtId="165" fontId="7" fillId="0" borderId="29" xfId="0" applyNumberFormat="1" applyFont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20" fontId="11" fillId="0" borderId="31" xfId="0" applyNumberFormat="1" applyFont="1" applyBorder="1" applyAlignment="1" applyProtection="1">
      <alignment horizontal="center" vertical="center"/>
      <protection locked="0"/>
    </xf>
    <xf numFmtId="165" fontId="7" fillId="0" borderId="32" xfId="0" applyNumberFormat="1" applyFont="1" applyBorder="1" applyAlignment="1" applyProtection="1">
      <alignment horizontal="center" vertical="center"/>
      <protection locked="0"/>
    </xf>
    <xf numFmtId="165" fontId="7" fillId="0" borderId="33" xfId="0" applyNumberFormat="1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>
      <alignment vertical="center"/>
    </xf>
    <xf numFmtId="165" fontId="12" fillId="0" borderId="26" xfId="0" applyNumberFormat="1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0" fontId="5" fillId="0" borderId="36" xfId="0" applyFont="1" applyBorder="1" applyAlignment="1" applyProtection="1">
      <alignment horizontal="left" vertical="center"/>
      <protection locked="0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15" fillId="0" borderId="19" xfId="0" applyNumberFormat="1" applyFont="1" applyBorder="1" applyAlignment="1" applyProtection="1">
      <alignment vertical="center"/>
      <protection locked="0"/>
    </xf>
    <xf numFmtId="165" fontId="15" fillId="0" borderId="24" xfId="0" applyNumberFormat="1" applyFont="1" applyBorder="1" applyAlignment="1">
      <alignment vertical="center"/>
    </xf>
    <xf numFmtId="165" fontId="15" fillId="0" borderId="25" xfId="0" applyNumberFormat="1" applyFont="1" applyBorder="1" applyAlignment="1">
      <alignment vertical="center"/>
    </xf>
    <xf numFmtId="166" fontId="16" fillId="0" borderId="22" xfId="0" applyNumberFormat="1" applyFont="1" applyBorder="1" applyAlignment="1" applyProtection="1">
      <alignment vertical="center"/>
      <protection locked="0"/>
    </xf>
    <xf numFmtId="166" fontId="0" fillId="0" borderId="22" xfId="0" applyNumberFormat="1" applyBorder="1" applyAlignment="1" applyProtection="1">
      <alignment vertical="center"/>
      <protection locked="0"/>
    </xf>
    <xf numFmtId="166" fontId="0" fillId="0" borderId="42" xfId="0" applyNumberFormat="1" applyBorder="1" applyAlignment="1" applyProtection="1">
      <alignment vertical="center"/>
      <protection locked="0"/>
    </xf>
    <xf numFmtId="166" fontId="16" fillId="0" borderId="42" xfId="0" applyNumberFormat="1" applyFont="1" applyBorder="1" applyAlignment="1" applyProtection="1">
      <alignment vertical="center"/>
      <protection locked="0"/>
    </xf>
    <xf numFmtId="166" fontId="16" fillId="0" borderId="22" xfId="0" quotePrefix="1" applyNumberFormat="1" applyFont="1" applyBorder="1" applyAlignment="1" applyProtection="1">
      <alignment vertical="center"/>
      <protection locked="0"/>
    </xf>
    <xf numFmtId="165" fontId="16" fillId="0" borderId="19" xfId="0" applyNumberFormat="1" applyFont="1" applyBorder="1" applyAlignment="1">
      <alignment horizontal="left" vertical="center"/>
    </xf>
    <xf numFmtId="165" fontId="0" fillId="0" borderId="24" xfId="0" applyNumberFormat="1" applyBorder="1" applyAlignment="1">
      <alignment horizontal="left" vertical="center"/>
    </xf>
    <xf numFmtId="165" fontId="0" fillId="0" borderId="25" xfId="0" applyNumberFormat="1" applyBorder="1" applyAlignment="1">
      <alignment horizontal="left" vertical="center"/>
    </xf>
    <xf numFmtId="166" fontId="16" fillId="0" borderId="22" xfId="0" applyNumberFormat="1" applyFont="1" applyBorder="1" applyAlignment="1">
      <alignment horizontal="center" vertical="center"/>
    </xf>
    <xf numFmtId="0" fontId="7" fillId="3" borderId="21" xfId="0" applyFont="1" applyFill="1" applyBorder="1" applyAlignment="1">
      <alignment horizontal="right" vertical="center"/>
    </xf>
    <xf numFmtId="0" fontId="7" fillId="3" borderId="22" xfId="0" applyFont="1" applyFill="1" applyBorder="1" applyAlignment="1">
      <alignment horizontal="right" vertical="center"/>
    </xf>
    <xf numFmtId="166" fontId="0" fillId="0" borderId="22" xfId="0" applyNumberFormat="1" applyBorder="1" applyAlignment="1">
      <alignment vertical="center"/>
    </xf>
    <xf numFmtId="166" fontId="16" fillId="0" borderId="42" xfId="0" applyNumberFormat="1" applyFont="1" applyBorder="1" applyAlignment="1">
      <alignment vertical="center"/>
    </xf>
    <xf numFmtId="1" fontId="17" fillId="0" borderId="30" xfId="0" applyNumberFormat="1" applyFont="1" applyBorder="1" applyAlignment="1">
      <alignment horizontal="right" vertical="center"/>
    </xf>
    <xf numFmtId="1" fontId="17" fillId="0" borderId="24" xfId="0" applyNumberFormat="1" applyFont="1" applyBorder="1" applyAlignment="1">
      <alignment horizontal="right" vertical="center"/>
    </xf>
    <xf numFmtId="1" fontId="17" fillId="0" borderId="25" xfId="0" applyNumberFormat="1" applyFont="1" applyBorder="1" applyAlignment="1">
      <alignment horizontal="right" vertical="center"/>
    </xf>
    <xf numFmtId="166" fontId="0" fillId="0" borderId="42" xfId="0" applyNumberFormat="1" applyBorder="1" applyAlignment="1">
      <alignment vertical="center"/>
    </xf>
    <xf numFmtId="166" fontId="0" fillId="0" borderId="22" xfId="0" applyNumberFormat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24" xfId="0" applyFont="1" applyFill="1" applyBorder="1" applyAlignment="1">
      <alignment horizontal="right" vertical="center"/>
    </xf>
    <xf numFmtId="0" fontId="7" fillId="3" borderId="25" xfId="0" applyFont="1" applyFill="1" applyBorder="1" applyAlignment="1">
      <alignment horizontal="right" vertical="center"/>
    </xf>
    <xf numFmtId="44" fontId="0" fillId="2" borderId="20" xfId="1" applyFont="1" applyFill="1" applyBorder="1" applyAlignment="1" applyProtection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8" fillId="0" borderId="16" xfId="0" applyNumberFormat="1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4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43" xfId="0" applyFont="1" applyBorder="1" applyAlignment="1">
      <alignment horizontal="left" vertical="center"/>
    </xf>
    <xf numFmtId="49" fontId="18" fillId="0" borderId="34" xfId="0" applyNumberFormat="1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45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9" fillId="3" borderId="47" xfId="0" applyFont="1" applyFill="1" applyBorder="1" applyAlignment="1">
      <alignment horizontal="right" vertical="center"/>
    </xf>
    <xf numFmtId="0" fontId="19" fillId="3" borderId="48" xfId="0" applyFont="1" applyFill="1" applyBorder="1" applyAlignment="1">
      <alignment horizontal="right" vertical="center"/>
    </xf>
    <xf numFmtId="0" fontId="19" fillId="3" borderId="49" xfId="0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104775</xdr:rowOff>
    </xdr:from>
    <xdr:to>
      <xdr:col>4</xdr:col>
      <xdr:colOff>161925</xdr:colOff>
      <xdr:row>3</xdr:row>
      <xdr:rowOff>292893</xdr:rowOff>
    </xdr:to>
    <xdr:pic macro="[1]!MENU">
      <xdr:nvPicPr>
        <xdr:cNvPr id="2" name="Picture 13" descr="LOGO">
          <a:extLst>
            <a:ext uri="{FF2B5EF4-FFF2-40B4-BE49-F238E27FC236}">
              <a16:creationId xmlns:a16="http://schemas.microsoft.com/office/drawing/2014/main" id="{4F05C3A1-8175-4F6C-AF1E-8B3AE1BA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775"/>
          <a:ext cx="1095375" cy="835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323850</xdr:colOff>
      <xdr:row>33</xdr:row>
      <xdr:rowOff>114300</xdr:rowOff>
    </xdr:from>
    <xdr:to>
      <xdr:col>15</xdr:col>
      <xdr:colOff>573881</xdr:colOff>
      <xdr:row>36</xdr:row>
      <xdr:rowOff>26193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A08AA1-DA7A-4A70-A904-9D131C61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8763000"/>
          <a:ext cx="2688431" cy="4833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EQ%20SERVIDOR\IEQ%20SEDE\IEQ%20PARA&#205;SO%202026\MFM%20PARA&#205;SO%202026%2006.xlsm" TargetMode="External"/><Relationship Id="rId1" Type="http://schemas.openxmlformats.org/officeDocument/2006/relationships/externalLinkPath" Target="file:///D:\IEQ%20SERVIDOR\IEQ%20SEDE\IEQ%20PARA&#205;SO%202026\MFM%20PARA&#205;SO%202026%20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MOV. FIN. MENSAL"/>
      <sheetName val="MOV. FIN. MENSALL"/>
      <sheetName val="1ª TERÇA"/>
      <sheetName val="2ª TERÇA"/>
      <sheetName val="3ª TERÇA"/>
      <sheetName val="4ª TERÇA"/>
      <sheetName val="5ª TERÇA"/>
      <sheetName val="1º DOMINGO"/>
      <sheetName val="1º DOMINGO B"/>
      <sheetName val="2º DOMINGO"/>
      <sheetName val="2º DOMINGO B"/>
      <sheetName val="3º DOMINGO"/>
      <sheetName val="3º DOMINGO B"/>
      <sheetName val="4º DOMINGO"/>
      <sheetName val="4º DOMINGO B"/>
      <sheetName val="5º DOMINGO"/>
      <sheetName val="5º DOMINGO B"/>
      <sheetName val="M. DIÁRIO"/>
      <sheetName val="DADOS"/>
      <sheetName val="ÍNDICE OFICIAL"/>
      <sheetName val="ÍNDICE GERAL PGCC"/>
      <sheetName val="ENVELOPES 2026"/>
      <sheetName val="ÁGAPE"/>
      <sheetName val="ALIANÇA"/>
      <sheetName val="AMIGOS DE CRISTO"/>
      <sheetName val="ANDERSON"/>
      <sheetName val="CORDEIRINHOS"/>
      <sheetName val="EM BUSCA DO REINO"/>
      <sheetName val="ROMPENDO EM FÉ"/>
      <sheetName val="ESTEVÃO"/>
      <sheetName val="FIDELIDADE"/>
      <sheetName val="FIDELIDADE E COMUNHÃO"/>
      <sheetName val="GUERREIROS DA FÉ"/>
      <sheetName val="GUERREIROS DA LUZ"/>
      <sheetName val="HERDEIROS DE DEUS"/>
      <sheetName val="PROMESSAS DE DEUS"/>
      <sheetName val="ROCHA DE ISRAEL"/>
      <sheetName val="ROSA DE SARON"/>
      <sheetName val="VALENTES DE DAVI"/>
      <sheetName val="VITORIOSOS EM CRISTO"/>
      <sheetName val="MARIA DONIZETT"/>
      <sheetName val="Of e diz"/>
      <sheetName val="Números"/>
      <sheetName val="FAMILIAS CONTEMPLADAS"/>
      <sheetName val="NOMES SORTEADOS NA 1º ETAPA"/>
      <sheetName val="OFERTA DE HONRA 2022"/>
      <sheetName val="SORTEIO DAS CESTAS"/>
      <sheetName val="P. CONTAS"/>
      <sheetName val="COMMEQ"/>
      <sheetName val="CASAS DE PAZ"/>
      <sheetName val="CONFERÊNCIA DE FIDELIDADE"/>
      <sheetName val="MISSÃO 70 2024"/>
      <sheetName val="DOCUMENTOS PESSOAIS"/>
      <sheetName val="MULHERES IEQ PARAÍSO"/>
      <sheetName val="CONFERÊNCIA DO ESPÍRITO SANTO"/>
      <sheetName val="CONTAS PR. IVAN PARAÍSO"/>
      <sheetName val="CONTAS PR. THIAGO PARAÍSO"/>
      <sheetName val="CONTAS PR. THIAGO GOIÁS"/>
      <sheetName val="CONFERÊNCIA DE CONTAS PARAÍSO"/>
      <sheetName val="PLANILHAS DE ENTRADAS"/>
      <sheetName val="Plan1"/>
    </sheetNames>
    <definedNames>
      <definedName name="MENU"/>
    </definedNames>
    <sheetDataSet>
      <sheetData sheetId="0"/>
      <sheetData sheetId="1">
        <row r="2">
          <cell r="C2" t="str">
            <v>PASTOR:                     Thiago Roza Siqueira</v>
          </cell>
        </row>
      </sheetData>
      <sheetData sheetId="2">
        <row r="2">
          <cell r="H2" t="str">
            <v xml:space="preserve">Tesoureiro:               Andrea Regina Gomes  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61D2-B70B-4016-AFB0-C6090791E575}">
  <dimension ref="A1:N36"/>
  <sheetViews>
    <sheetView tabSelected="1" workbookViewId="0">
      <selection activeCell="Q7" sqref="Q7"/>
    </sheetView>
  </sheetViews>
  <sheetFormatPr defaultRowHeight="15" x14ac:dyDescent="0.25"/>
  <sheetData>
    <row r="1" spans="1:14" ht="18" x14ac:dyDescent="0.25">
      <c r="A1" s="1"/>
      <c r="B1" s="2"/>
      <c r="C1" s="2"/>
      <c r="D1" s="2"/>
      <c r="E1" s="3"/>
      <c r="F1" s="4" t="s">
        <v>0</v>
      </c>
      <c r="G1" s="4"/>
      <c r="H1" s="4"/>
      <c r="I1" s="4"/>
      <c r="J1" s="4"/>
      <c r="K1" s="4"/>
      <c r="L1" s="4"/>
      <c r="M1" s="5"/>
      <c r="N1" s="6" t="s">
        <v>1</v>
      </c>
    </row>
    <row r="2" spans="1:14" ht="15.75" thickBot="1" x14ac:dyDescent="0.3">
      <c r="A2" s="7"/>
      <c r="B2" s="8"/>
      <c r="C2" s="8"/>
      <c r="D2" s="8"/>
      <c r="E2" s="9"/>
      <c r="F2" s="10" t="s">
        <v>2</v>
      </c>
      <c r="G2" s="10"/>
      <c r="H2" s="10"/>
      <c r="I2" s="10"/>
      <c r="J2" s="10"/>
      <c r="K2" s="10"/>
      <c r="L2" s="10"/>
      <c r="M2" s="11"/>
      <c r="N2" s="12" t="s">
        <v>3</v>
      </c>
    </row>
    <row r="3" spans="1:14" x14ac:dyDescent="0.25">
      <c r="A3" s="7"/>
      <c r="B3" s="8"/>
      <c r="C3" s="8"/>
      <c r="D3" s="8"/>
      <c r="E3" s="8"/>
      <c r="F3" s="13" t="s">
        <v>4</v>
      </c>
      <c r="G3" s="14"/>
      <c r="H3" s="14"/>
      <c r="I3" s="14"/>
      <c r="J3" s="14"/>
      <c r="K3" s="14"/>
      <c r="L3" s="15"/>
      <c r="M3" s="16" t="s">
        <v>5</v>
      </c>
      <c r="N3" s="17"/>
    </row>
    <row r="4" spans="1:14" ht="15.75" thickBot="1" x14ac:dyDescent="0.3">
      <c r="A4" s="18"/>
      <c r="B4" s="19"/>
      <c r="C4" s="19"/>
      <c r="D4" s="19"/>
      <c r="E4" s="19"/>
      <c r="F4" s="20" t="s">
        <v>6</v>
      </c>
      <c r="G4" s="21"/>
      <c r="H4" s="21"/>
      <c r="I4" s="21"/>
      <c r="J4" s="21"/>
      <c r="K4" s="21"/>
      <c r="L4" s="22"/>
      <c r="M4" s="23" t="s">
        <v>7</v>
      </c>
      <c r="N4" s="24"/>
    </row>
    <row r="5" spans="1:14" x14ac:dyDescent="0.25">
      <c r="A5" s="25" t="str">
        <f>'[1]MOV. FIN. MENSAL'!$C$2</f>
        <v>PASTOR:                     Thiago Roza Siqueira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  <c r="M5" s="28"/>
      <c r="N5" s="29"/>
    </row>
    <row r="6" spans="1:14" x14ac:dyDescent="0.25">
      <c r="A6" s="30" t="s">
        <v>8</v>
      </c>
      <c r="B6" s="31"/>
      <c r="C6" s="31"/>
      <c r="D6" s="31"/>
      <c r="E6" s="31"/>
      <c r="F6" s="31"/>
      <c r="G6" s="31"/>
      <c r="H6" s="32"/>
      <c r="I6" s="33" t="s">
        <v>9</v>
      </c>
      <c r="J6" s="34"/>
      <c r="K6" s="35"/>
      <c r="L6" s="36"/>
      <c r="M6" s="37" t="s">
        <v>10</v>
      </c>
      <c r="N6" s="38"/>
    </row>
    <row r="7" spans="1:14" x14ac:dyDescent="0.25">
      <c r="A7" s="39" t="s">
        <v>11</v>
      </c>
      <c r="B7" s="37" t="s">
        <v>12</v>
      </c>
      <c r="C7" s="37" t="s">
        <v>13</v>
      </c>
      <c r="D7" s="37" t="s">
        <v>14</v>
      </c>
      <c r="E7" s="37" t="s">
        <v>14</v>
      </c>
      <c r="F7" s="37" t="s">
        <v>12</v>
      </c>
      <c r="G7" s="37" t="s">
        <v>12</v>
      </c>
      <c r="H7" s="40">
        <v>0.75</v>
      </c>
      <c r="I7" s="31" t="s">
        <v>15</v>
      </c>
      <c r="J7" s="31"/>
      <c r="K7" s="31"/>
      <c r="L7" s="41"/>
      <c r="M7" s="31" t="s">
        <v>16</v>
      </c>
      <c r="N7" s="42"/>
    </row>
    <row r="8" spans="1:14" x14ac:dyDescent="0.25">
      <c r="A8" s="43" t="s">
        <v>17</v>
      </c>
      <c r="B8" s="44"/>
      <c r="C8" s="44"/>
      <c r="D8" s="44"/>
      <c r="E8" s="44"/>
      <c r="F8" s="44"/>
      <c r="G8" s="45"/>
      <c r="H8" s="46"/>
      <c r="I8" s="31"/>
      <c r="J8" s="31"/>
      <c r="K8" s="31"/>
      <c r="L8" s="47"/>
      <c r="M8" s="31"/>
      <c r="N8" s="48"/>
    </row>
    <row r="9" spans="1:14" x14ac:dyDescent="0.25">
      <c r="A9" s="30" t="s">
        <v>18</v>
      </c>
      <c r="B9" s="31"/>
      <c r="C9" s="31"/>
      <c r="D9" s="31"/>
      <c r="E9" s="31"/>
      <c r="F9" s="31"/>
      <c r="G9" s="31"/>
      <c r="H9" s="36"/>
      <c r="I9" s="31" t="s">
        <v>19</v>
      </c>
      <c r="J9" s="31"/>
      <c r="K9" s="31"/>
      <c r="L9" s="36"/>
      <c r="M9" s="49" t="s">
        <v>20</v>
      </c>
      <c r="N9" s="50"/>
    </row>
    <row r="10" spans="1:14" ht="15.75" thickBot="1" x14ac:dyDescent="0.3">
      <c r="A10" s="51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</row>
    <row r="11" spans="1:14" ht="15.75" thickBot="1" x14ac:dyDescent="0.3">
      <c r="A11" s="54" t="s">
        <v>22</v>
      </c>
      <c r="B11" s="55"/>
      <c r="C11" s="55"/>
      <c r="D11" s="55"/>
      <c r="E11" s="55"/>
      <c r="F11" s="55"/>
      <c r="G11" s="55"/>
      <c r="H11" s="55"/>
      <c r="I11" s="56"/>
      <c r="J11" s="56"/>
      <c r="K11" s="56"/>
      <c r="L11" s="56"/>
      <c r="M11" s="56"/>
      <c r="N11" s="57"/>
    </row>
    <row r="12" spans="1:14" x14ac:dyDescent="0.25">
      <c r="A12" s="58" t="s">
        <v>23</v>
      </c>
      <c r="B12" s="59" t="s">
        <v>24</v>
      </c>
      <c r="C12" s="60"/>
      <c r="D12" s="60"/>
      <c r="E12" s="60"/>
      <c r="F12" s="60"/>
      <c r="G12" s="60"/>
      <c r="H12" s="60"/>
      <c r="I12" s="60"/>
      <c r="J12" s="60"/>
      <c r="K12" s="61"/>
      <c r="L12" s="62" t="s">
        <v>25</v>
      </c>
      <c r="M12" s="62" t="s">
        <v>26</v>
      </c>
      <c r="N12" s="63" t="s">
        <v>27</v>
      </c>
    </row>
    <row r="13" spans="1:14" x14ac:dyDescent="0.25">
      <c r="A13" s="64">
        <v>1</v>
      </c>
      <c r="B13" s="65"/>
      <c r="C13" s="66"/>
      <c r="D13" s="66"/>
      <c r="E13" s="66"/>
      <c r="F13" s="66"/>
      <c r="G13" s="66"/>
      <c r="H13" s="66"/>
      <c r="I13" s="66"/>
      <c r="J13" s="66"/>
      <c r="K13" s="67"/>
      <c r="L13" s="68"/>
      <c r="M13" s="69"/>
      <c r="N13" s="70"/>
    </row>
    <row r="14" spans="1:14" x14ac:dyDescent="0.25">
      <c r="A14" s="64">
        <v>2</v>
      </c>
      <c r="B14" s="65"/>
      <c r="C14" s="66"/>
      <c r="D14" s="66"/>
      <c r="E14" s="66"/>
      <c r="F14" s="66"/>
      <c r="G14" s="66"/>
      <c r="H14" s="66"/>
      <c r="I14" s="66"/>
      <c r="J14" s="66"/>
      <c r="K14" s="67"/>
      <c r="L14" s="69"/>
      <c r="M14" s="69"/>
      <c r="N14" s="71"/>
    </row>
    <row r="15" spans="1:14" x14ac:dyDescent="0.25">
      <c r="A15" s="64">
        <v>3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72"/>
      <c r="M15" s="69"/>
      <c r="N15" s="70"/>
    </row>
    <row r="16" spans="1:14" x14ac:dyDescent="0.25">
      <c r="A16" s="64">
        <v>4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9"/>
      <c r="M16" s="68"/>
      <c r="N16" s="71"/>
    </row>
    <row r="17" spans="1:14" x14ac:dyDescent="0.25">
      <c r="A17" s="64">
        <v>5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9"/>
      <c r="M17" s="69"/>
      <c r="N17" s="70"/>
    </row>
    <row r="18" spans="1:14" x14ac:dyDescent="0.25">
      <c r="A18" s="64">
        <v>6</v>
      </c>
      <c r="B18" s="65"/>
      <c r="C18" s="66"/>
      <c r="D18" s="66"/>
      <c r="E18" s="66"/>
      <c r="F18" s="66"/>
      <c r="G18" s="66"/>
      <c r="H18" s="66"/>
      <c r="I18" s="66"/>
      <c r="J18" s="66"/>
      <c r="K18" s="67"/>
      <c r="L18" s="69"/>
      <c r="M18" s="69"/>
      <c r="N18" s="70"/>
    </row>
    <row r="19" spans="1:14" x14ac:dyDescent="0.25">
      <c r="A19" s="64">
        <v>7</v>
      </c>
      <c r="B19" s="65"/>
      <c r="C19" s="66"/>
      <c r="D19" s="66"/>
      <c r="E19" s="66"/>
      <c r="F19" s="66"/>
      <c r="G19" s="66"/>
      <c r="H19" s="66"/>
      <c r="I19" s="66"/>
      <c r="J19" s="66"/>
      <c r="K19" s="67"/>
      <c r="L19" s="69"/>
      <c r="M19" s="69"/>
      <c r="N19" s="71"/>
    </row>
    <row r="20" spans="1:14" x14ac:dyDescent="0.25">
      <c r="A20" s="64">
        <v>8</v>
      </c>
      <c r="B20" s="65"/>
      <c r="C20" s="66"/>
      <c r="D20" s="66"/>
      <c r="E20" s="66"/>
      <c r="F20" s="66"/>
      <c r="G20" s="66"/>
      <c r="H20" s="66"/>
      <c r="I20" s="66"/>
      <c r="J20" s="66"/>
      <c r="K20" s="67"/>
      <c r="L20" s="68"/>
      <c r="M20" s="69"/>
      <c r="N20" s="71"/>
    </row>
    <row r="21" spans="1:14" x14ac:dyDescent="0.25">
      <c r="A21" s="64">
        <v>9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9"/>
      <c r="M21" s="69"/>
      <c r="N21" s="71"/>
    </row>
    <row r="22" spans="1:14" x14ac:dyDescent="0.25">
      <c r="A22" s="64">
        <v>10</v>
      </c>
      <c r="B22" s="65"/>
      <c r="C22" s="66"/>
      <c r="D22" s="66"/>
      <c r="E22" s="66"/>
      <c r="F22" s="66"/>
      <c r="G22" s="66"/>
      <c r="H22" s="66"/>
      <c r="I22" s="66"/>
      <c r="J22" s="66"/>
      <c r="K22" s="67"/>
      <c r="L22" s="69"/>
      <c r="M22" s="68"/>
      <c r="N22" s="70"/>
    </row>
    <row r="23" spans="1:14" x14ac:dyDescent="0.25">
      <c r="A23" s="64">
        <v>11</v>
      </c>
      <c r="B23" s="65"/>
      <c r="C23" s="66"/>
      <c r="D23" s="66"/>
      <c r="E23" s="66"/>
      <c r="F23" s="66"/>
      <c r="G23" s="66"/>
      <c r="H23" s="66"/>
      <c r="I23" s="66"/>
      <c r="J23" s="66"/>
      <c r="K23" s="67"/>
      <c r="L23" s="69"/>
      <c r="M23" s="69"/>
      <c r="N23" s="71"/>
    </row>
    <row r="24" spans="1:14" x14ac:dyDescent="0.25">
      <c r="A24" s="64">
        <v>12</v>
      </c>
      <c r="B24" s="65"/>
      <c r="C24" s="66"/>
      <c r="D24" s="66"/>
      <c r="E24" s="66"/>
      <c r="F24" s="66"/>
      <c r="G24" s="66"/>
      <c r="H24" s="66"/>
      <c r="I24" s="66"/>
      <c r="J24" s="66"/>
      <c r="K24" s="67"/>
      <c r="L24" s="69"/>
      <c r="M24" s="69"/>
      <c r="N24" s="71"/>
    </row>
    <row r="25" spans="1:14" x14ac:dyDescent="0.25">
      <c r="A25" s="64">
        <v>13</v>
      </c>
      <c r="B25" s="65"/>
      <c r="C25" s="66"/>
      <c r="D25" s="66"/>
      <c r="E25" s="66"/>
      <c r="F25" s="66"/>
      <c r="G25" s="66"/>
      <c r="H25" s="66"/>
      <c r="I25" s="66"/>
      <c r="J25" s="66"/>
      <c r="K25" s="67"/>
      <c r="L25" s="68"/>
      <c r="M25" s="69"/>
      <c r="N25" s="71"/>
    </row>
    <row r="26" spans="1:14" x14ac:dyDescent="0.25">
      <c r="A26" s="64">
        <v>14</v>
      </c>
      <c r="B26" s="65"/>
      <c r="C26" s="66"/>
      <c r="D26" s="66"/>
      <c r="E26" s="66"/>
      <c r="F26" s="66"/>
      <c r="G26" s="66"/>
      <c r="H26" s="66"/>
      <c r="I26" s="66"/>
      <c r="J26" s="66"/>
      <c r="K26" s="67"/>
      <c r="L26" s="69"/>
      <c r="M26" s="69"/>
      <c r="N26" s="71"/>
    </row>
    <row r="27" spans="1:14" x14ac:dyDescent="0.25">
      <c r="A27" s="64">
        <v>15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8"/>
      <c r="M27" s="69"/>
      <c r="N27" s="71"/>
    </row>
    <row r="28" spans="1:14" x14ac:dyDescent="0.25">
      <c r="A28" s="64">
        <v>16</v>
      </c>
      <c r="B28" s="73" t="s">
        <v>28</v>
      </c>
      <c r="C28" s="74"/>
      <c r="D28" s="74"/>
      <c r="E28" s="74"/>
      <c r="F28" s="74"/>
      <c r="G28" s="74"/>
      <c r="H28" s="74"/>
      <c r="I28" s="74"/>
      <c r="J28" s="74"/>
      <c r="K28" s="75"/>
      <c r="L28" s="76" t="s">
        <v>29</v>
      </c>
      <c r="M28" s="76" t="s">
        <v>29</v>
      </c>
      <c r="N28" s="70"/>
    </row>
    <row r="29" spans="1:14" x14ac:dyDescent="0.25">
      <c r="A29" s="77" t="s">
        <v>30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9">
        <f>SUM(L13:L28)</f>
        <v>0</v>
      </c>
      <c r="M29" s="79">
        <f>SUM(M13:M28)</f>
        <v>0</v>
      </c>
      <c r="N29" s="80">
        <f>SUM(N13:N28)</f>
        <v>0</v>
      </c>
    </row>
    <row r="30" spans="1:14" x14ac:dyDescent="0.25">
      <c r="A30" s="81">
        <f>SUM(O43:O288)</f>
        <v>0</v>
      </c>
      <c r="B30" s="82"/>
      <c r="C30" s="82"/>
      <c r="D30" s="82"/>
      <c r="E30" s="82"/>
      <c r="F30" s="83"/>
      <c r="G30" s="78" t="s">
        <v>31</v>
      </c>
      <c r="H30" s="78"/>
      <c r="I30" s="78"/>
      <c r="J30" s="78"/>
      <c r="K30" s="78"/>
      <c r="L30" s="79">
        <f>SUM(L68,L104,L140,L176,L212,L248,L284)</f>
        <v>0</v>
      </c>
      <c r="M30" s="79">
        <f>SUM(M68,M104,M140,M176,M212,M248,M284)</f>
        <v>0</v>
      </c>
      <c r="N30" s="84">
        <f>SUM(N68,N104,N140,N176,N212,N248,N284)</f>
        <v>0</v>
      </c>
    </row>
    <row r="31" spans="1:14" x14ac:dyDescent="0.25">
      <c r="A31" s="77" t="s">
        <v>32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85">
        <f>SUM(L29:L30)</f>
        <v>0</v>
      </c>
      <c r="M31" s="85">
        <f>SUM(M29:M30)</f>
        <v>0</v>
      </c>
      <c r="N31" s="84">
        <f>SUM(N29:N30)</f>
        <v>0</v>
      </c>
    </row>
    <row r="32" spans="1:14" x14ac:dyDescent="0.25">
      <c r="A32" s="86" t="s">
        <v>33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8"/>
      <c r="N32" s="89">
        <f>L29+M29+N29+L30+M30+N30</f>
        <v>0</v>
      </c>
    </row>
    <row r="33" spans="1:14" ht="15.75" thickBot="1" x14ac:dyDescent="0.3">
      <c r="A33" s="90" t="s">
        <v>34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2" t="s">
        <v>35</v>
      </c>
      <c r="M33" s="93"/>
      <c r="N33" s="94"/>
    </row>
    <row r="34" spans="1:14" x14ac:dyDescent="0.25">
      <c r="A34" s="95" t="str">
        <f>'[1]MOV. FIN. MENSALL'!$H$2</f>
        <v xml:space="preserve">Tesoureiro:               Andrea Regina Gomes     </v>
      </c>
      <c r="B34" s="96"/>
      <c r="C34" s="96"/>
      <c r="D34" s="96"/>
      <c r="E34" s="96"/>
      <c r="F34" s="96"/>
      <c r="G34" s="96"/>
      <c r="H34" s="96"/>
      <c r="I34" s="96"/>
      <c r="J34" s="96"/>
      <c r="K34" s="97"/>
      <c r="L34" s="98" t="s">
        <v>35</v>
      </c>
      <c r="M34" s="99"/>
      <c r="N34" s="100"/>
    </row>
    <row r="35" spans="1:14" ht="15.75" thickBot="1" x14ac:dyDescent="0.3">
      <c r="A35" s="101" t="str">
        <f>'[1]MOV. FIN. MENSAL'!$C$2</f>
        <v>PASTOR:                     Thiago Roza Siqueira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3"/>
      <c r="L35" s="104" t="s">
        <v>35</v>
      </c>
      <c r="M35" s="104"/>
      <c r="N35" s="105"/>
    </row>
    <row r="36" spans="1:14" ht="15.75" thickBot="1" x14ac:dyDescent="0.3">
      <c r="A36" s="106" t="s">
        <v>36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8"/>
    </row>
  </sheetData>
  <mergeCells count="32">
    <mergeCell ref="A36:N36"/>
    <mergeCell ref="A32:M32"/>
    <mergeCell ref="A33:K33"/>
    <mergeCell ref="L33:N33"/>
    <mergeCell ref="A34:K34"/>
    <mergeCell ref="L34:N34"/>
    <mergeCell ref="A35:K35"/>
    <mergeCell ref="L35:N35"/>
    <mergeCell ref="B12:K12"/>
    <mergeCell ref="B28:K28"/>
    <mergeCell ref="A29:K29"/>
    <mergeCell ref="A30:F30"/>
    <mergeCell ref="G30:K30"/>
    <mergeCell ref="A31:K31"/>
    <mergeCell ref="N7:N8"/>
    <mergeCell ref="A8:G8"/>
    <mergeCell ref="A9:G9"/>
    <mergeCell ref="I9:K9"/>
    <mergeCell ref="A10:N10"/>
    <mergeCell ref="A11:N11"/>
    <mergeCell ref="A6:G6"/>
    <mergeCell ref="I6:K6"/>
    <mergeCell ref="H7:H8"/>
    <mergeCell ref="I7:K8"/>
    <mergeCell ref="L7:L8"/>
    <mergeCell ref="M7:M8"/>
    <mergeCell ref="A1:E4"/>
    <mergeCell ref="F1:M1"/>
    <mergeCell ref="F2:M2"/>
    <mergeCell ref="F4:L4"/>
    <mergeCell ref="A5:L5"/>
    <mergeCell ref="M5:N5"/>
  </mergeCells>
  <conditionalFormatting sqref="N28">
    <cfRule type="cellIs" dxfId="0" priority="1" operator="equal">
      <formula>0</formula>
    </cfRule>
  </conditionalFormatting>
  <dataValidations count="1">
    <dataValidation type="list" allowBlank="1" showDropDown="1" showInputMessage="1" showErrorMessage="1" errorTitle="Atenção" error="Posicione o cursor na coluna B e digite normalmente os códigos, obrigado!!!" promptTitle="Atenção" prompt="Posicione o cursor na coluna B e digite normalmente os códigos, obrigado!!!" sqref="C13:K28" xr:uid="{4AA234B0-5F17-4B29-BB6E-F4FFFA4A002E}">
      <formula1>"não escrever aqui, obrigado"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2026-06-14T20:44:10Z</dcterms:created>
  <dcterms:modified xsi:type="dcterms:W3CDTF">2026-06-14T20:44:40Z</dcterms:modified>
</cp:coreProperties>
</file>